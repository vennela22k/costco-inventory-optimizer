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0F72BD81-4100-4C47-B655-7205A331B86C}" xr6:coauthVersionLast="47" xr6:coauthVersionMax="47" xr10:uidLastSave="{00000000-0000-0000-0000-000000000000}"/>
  <bookViews>
    <workbookView xWindow="240" yWindow="105" windowWidth="14805" windowHeight="8010" firstSheet="2" activeTab="3" xr2:uid="{00000000-000D-0000-FFFF-FFFF00000000}"/>
  </bookViews>
  <sheets>
    <sheet name="Data" sheetId="1" r:id="rId1"/>
    <sheet name="Calculations" sheetId="3" r:id="rId2"/>
    <sheet name="Dashboard" sheetId="4" r:id="rId3"/>
    <sheet name="source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3" l="1"/>
  <c r="M10" i="3"/>
  <c r="M3" i="3"/>
  <c r="M4" i="3"/>
  <c r="M5" i="3"/>
  <c r="M6" i="3"/>
  <c r="M7" i="3"/>
  <c r="M8" i="3"/>
  <c r="M9" i="3"/>
  <c r="M2" i="3"/>
  <c r="D8" i="3"/>
  <c r="D5" i="3"/>
  <c r="D9" i="3"/>
  <c r="D10" i="3"/>
  <c r="D7" i="3"/>
  <c r="D6" i="3"/>
  <c r="D4" i="3"/>
  <c r="D11" i="3"/>
  <c r="D2" i="3"/>
  <c r="C8" i="3"/>
  <c r="E8" i="3" s="1"/>
  <c r="C5" i="3"/>
  <c r="E5" i="3" s="1"/>
  <c r="C9" i="3"/>
  <c r="E9" i="3" s="1"/>
  <c r="C10" i="3"/>
  <c r="E10" i="3" s="1"/>
  <c r="C7" i="3"/>
  <c r="E7" i="3" s="1"/>
  <c r="C6" i="3"/>
  <c r="E6" i="3" s="1"/>
  <c r="C4" i="3"/>
  <c r="E4" i="3" s="1"/>
  <c r="C11" i="3"/>
  <c r="E11" i="3" s="1"/>
  <c r="C2" i="3"/>
  <c r="E2" i="3" s="1"/>
  <c r="B8" i="3"/>
  <c r="B5" i="3"/>
  <c r="B9" i="3"/>
  <c r="B10" i="3"/>
  <c r="B7" i="3"/>
  <c r="B6" i="3"/>
  <c r="B4" i="3"/>
  <c r="B11" i="3"/>
  <c r="B2" i="3"/>
  <c r="D3" i="3"/>
  <c r="C3" i="3"/>
  <c r="E3" i="3" s="1"/>
  <c r="B3" i="3"/>
  <c r="F3" i="3" l="1"/>
  <c r="I3" i="3" s="1"/>
  <c r="G3" i="3"/>
  <c r="F2" i="3"/>
  <c r="I2" i="3" s="1"/>
  <c r="G2" i="3"/>
  <c r="F11" i="3"/>
  <c r="I11" i="3" s="1"/>
  <c r="G11" i="3"/>
  <c r="F4" i="3"/>
  <c r="I4" i="3" s="1"/>
  <c r="G4" i="3"/>
  <c r="F6" i="3"/>
  <c r="I6" i="3" s="1"/>
  <c r="G6" i="3"/>
  <c r="F7" i="3"/>
  <c r="I7" i="3" s="1"/>
  <c r="G7" i="3"/>
  <c r="F10" i="3"/>
  <c r="I10" i="3" s="1"/>
  <c r="G10" i="3"/>
  <c r="F9" i="3"/>
  <c r="I9" i="3" s="1"/>
  <c r="G9" i="3"/>
  <c r="F5" i="3"/>
  <c r="I5" i="3" s="1"/>
  <c r="G5" i="3"/>
  <c r="F8" i="3"/>
  <c r="I8" i="3" s="1"/>
  <c r="G8" i="3"/>
  <c r="K2" i="3"/>
  <c r="L2" i="3" s="1"/>
  <c r="H2" i="3"/>
  <c r="J2" i="3" s="1"/>
  <c r="K11" i="3"/>
  <c r="L11" i="3" s="1"/>
  <c r="H11" i="3"/>
  <c r="J11" i="3" s="1"/>
  <c r="K4" i="3"/>
  <c r="L4" i="3" s="1"/>
  <c r="H4" i="3"/>
  <c r="J4" i="3" s="1"/>
  <c r="K6" i="3"/>
  <c r="L6" i="3" s="1"/>
  <c r="H6" i="3"/>
  <c r="J6" i="3" s="1"/>
  <c r="K7" i="3"/>
  <c r="L7" i="3" s="1"/>
  <c r="H7" i="3"/>
  <c r="J7" i="3" s="1"/>
  <c r="K10" i="3"/>
  <c r="L10" i="3" s="1"/>
  <c r="H10" i="3"/>
  <c r="J10" i="3" s="1"/>
  <c r="K9" i="3"/>
  <c r="L9" i="3" s="1"/>
  <c r="H9" i="3"/>
  <c r="J9" i="3" s="1"/>
  <c r="K5" i="3"/>
  <c r="L5" i="3" s="1"/>
  <c r="H5" i="3"/>
  <c r="J5" i="3" s="1"/>
  <c r="K8" i="3"/>
  <c r="L8" i="3" s="1"/>
  <c r="H8" i="3"/>
  <c r="J8" i="3" s="1"/>
  <c r="K3" i="3"/>
  <c r="L3" i="3" s="1"/>
  <c r="H3" i="3"/>
  <c r="J3" i="3" s="1"/>
  <c r="B4" i="4" l="1" a="1"/>
  <c r="B4" i="4" s="1"/>
  <c r="B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tc={063955BA-51B3-4145-AC8A-D748D7525FA5}</author>
    <author>tc={8D1EB38B-64BB-4341-9120-D45E349BE161}</author>
    <author>tc={B70053DE-41DC-44C3-9FC3-FAE5C0F3EA9F}</author>
    <author>tc={D72CF8EB-3C43-4681-A716-1AAA3CF5BCA8}</author>
    <author>tc={F2C48C58-6874-4ADE-8219-E82BB53FC4D9}</author>
    <author>tc={C3A8709A-EEB4-4221-AC74-4C6C207E34D6}</author>
  </authors>
  <commentList>
    <comment ref="B2" authorId="0" shapeId="0" xr:uid="{063955BA-51B3-4145-AC8A-D748D7525FA5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https://fortune.com/2024/06/04/costco-kirkland-store-brand-nike-coca-cola/</t>
      </text>
    </comment>
    <comment ref="B3" authorId="1" shapeId="0" xr:uid="{8D1EB38B-64BB-4341-9120-D45E349BE161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https://www.southernliving.com/costco-rotisserie-chicken-change-8643561#:~:text=Don't%20worry.,It%20will%20still%20be%20$5.&amp;text=Although%20each%20Costco%20warehouse%20store,January%202024%20annual%20shareholder%20meeting.</t>
      </text>
    </comment>
    <comment ref="B4" authorId="2" shapeId="0" xr:uid="{B70053DE-41DC-44C3-9FC3-FAE5C0F3EA9F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https://fortune.com/2024/06/04/costco-kirkland-store-brand-nike-coca-cola/</t>
      </text>
    </comment>
    <comment ref="B5" authorId="3" shapeId="0" xr:uid="{D72CF8EB-3C43-4681-A716-1AAA3CF5BCA8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https://www.thedailymeal.com/1902161/what-brand-makes-costco-kirkland-bottled-water/</t>
      </text>
    </comment>
    <comment ref="B6" authorId="4" shapeId="0" xr:uid="{F2C48C58-6874-4ADE-8219-E82BB53FC4D9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https://www.statista.com/statistics/284423/sales-costco-worldwide-2011-2013-by-category/#:~:text=In%202025%2C%20Costco%20Wholesale%20Corporation,retaining%20a%20loyal%20customer%20base.</t>
      </text>
    </comment>
    <comment ref="B7" authorId="5" shapeId="0" xr:uid="{C3A8709A-EEB4-4221-AC74-4C6C207E34D6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https://www.tastingtable.com/1850928/costco-eggs-per-year/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<sst xmlns="http://schemas.openxmlformats.org/spreadsheetml/2006/main" count="47" uniqueCount="36">
  <si>
    <t>Product Name</t>
  </si>
  <si>
    <t>Annual Demand (units/year)</t>
  </si>
  <si>
    <t>Unit Cost to Costco ($$ )</t>
  </si>
  <si>
    <t>Selling Price ( $$)</t>
  </si>
  <si>
    <t>Fixed Order Cost ($)</t>
  </si>
  <si>
    <t>Holding Cost % per year</t>
  </si>
  <si>
    <t>Lead Time (days)</t>
  </si>
  <si>
    <t>Kirkland Paper Towels</t>
  </si>
  <si>
    <t>Rotisserie Chicken</t>
  </si>
  <si>
    <t>Kirkland Toilet Paper</t>
  </si>
  <si>
    <t>Bottled Water (40-pack)</t>
  </si>
  <si>
    <t>Bananas (3 lb bag)</t>
  </si>
  <si>
    <t>Eggs (5-dozen pack)</t>
  </si>
  <si>
    <t>Kirkland Batteries (48 ct)</t>
  </si>
  <si>
    <t>Organic Milk (3 half-gal)</t>
  </si>
  <si>
    <t>Gasoline (per gallon)</t>
  </si>
  <si>
    <t>Tide Pods (152 ct)</t>
  </si>
  <si>
    <t>Annual Demand</t>
  </si>
  <si>
    <t>Unit Cost</t>
  </si>
  <si>
    <t>Order Cost</t>
  </si>
  <si>
    <t>Holding Rate</t>
  </si>
  <si>
    <t>EOQ</t>
  </si>
  <si>
    <t>Orders/year</t>
  </si>
  <si>
    <t>Total Ordering $</t>
  </si>
  <si>
    <t>Total Holding $</t>
  </si>
  <si>
    <t>Total Inventory Cost</t>
  </si>
  <si>
    <t>Safety Stock</t>
  </si>
  <si>
    <t>Reorder Point</t>
  </si>
  <si>
    <t>Current Policy Cost</t>
  </si>
  <si>
    <t>Costco Inventory Optimization - Results Summary</t>
  </si>
  <si>
    <t>Total annual savings with EOQ</t>
  </si>
  <si>
    <t>Average % savings</t>
  </si>
  <si>
    <t>- prices checked on costco.com Dec 2025</t>
  </si>
  <si>
    <t>- holding % and order costs evaluated based on  industry standards</t>
  </si>
  <si>
    <t>- Demand -&gt; scaled to per warehouse</t>
  </si>
  <si>
    <t>Demand reverse-engineered from public renenue, earnings calls, and Costco prices (Dec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</si>
</sst>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wrapText="1"/>
    </xf>
    <xf numFmtId="2" fontId="0" fillId="0" borderId="0" xfId="0" quotePrefix="1" applyNumberFormat="1"/>
    <xf numFmtId="2" fontId="0" fillId="0" borderId="0" xfId="0" applyNumberFormat="1"/>
    <xf numFmtId="0" fontId="2" fillId="0" borderId="0" xfId="0" applyFont="1"/>
    <xf numFmtId="164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Inventory Cost: Current Policy vs EOQ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Calculations!$J$1</c:f>
              <c:strCache>
                <c:ptCount val="1"/>
                <c:pt idx="0">
                  <c:v>Total Inventory Cost</c:v>
                </c:pt>
              </c:strCache>
            </c:strRef>
          </c:tx>
          <c:spPr>
            <a:solidFill>
              <a:srgbClr val="186C2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Calculations!$A$2:$A$11</c:f>
              <c:strCache>
                <c:ptCount val="10"/>
                <c:pt idx="0">
                  <c:v>Tide Pods (152 ct)</c:v>
                </c:pt>
                <c:pt idx="1">
                  <c:v>Kirkland Paper Towels</c:v>
                </c:pt>
                <c:pt idx="2">
                  <c:v>Organic Milk (3 half-gal)</c:v>
                </c:pt>
                <c:pt idx="3">
                  <c:v>Kirkland Toilet Paper</c:v>
                </c:pt>
                <c:pt idx="4">
                  <c:v>Kirkland Batteries (48 ct)</c:v>
                </c:pt>
                <c:pt idx="5">
                  <c:v>Eggs (5-dozen pack)</c:v>
                </c:pt>
                <c:pt idx="6">
                  <c:v>Rotisserie Chicken</c:v>
                </c:pt>
                <c:pt idx="7">
                  <c:v>Bottled Water (40-pack)</c:v>
                </c:pt>
                <c:pt idx="8">
                  <c:v>Bananas (3 lb bag)</c:v>
                </c:pt>
                <c:pt idx="9">
                  <c:v>Gasoline (per gallon)</c:v>
                </c:pt>
              </c:strCache>
            </c:strRef>
          </c:cat>
          <c:val>
            <c:numRef>
              <c:f>Calculations!$J$2:$J$11</c:f>
              <c:numCache>
                <c:formatCode>#,##0.00</c:formatCode>
                <c:ptCount val="10"/>
                <c:pt idx="0">
                  <c:v>169018.78593813174</c:v>
                </c:pt>
                <c:pt idx="1">
                  <c:v>132039.29415140027</c:v>
                </c:pt>
                <c:pt idx="2">
                  <c:v>99734.563717900717</c:v>
                </c:pt>
                <c:pt idx="3">
                  <c:v>148816.45070354285</c:v>
                </c:pt>
                <c:pt idx="4">
                  <c:v>128040.61855520692</c:v>
                </c:pt>
                <c:pt idx="5">
                  <c:v>97283.092056122478</c:v>
                </c:pt>
                <c:pt idx="6">
                  <c:v>62069.586755511758</c:v>
                </c:pt>
                <c:pt idx="7">
                  <c:v>83034.450681629736</c:v>
                </c:pt>
                <c:pt idx="8">
                  <c:v>159378.79407248634</c:v>
                </c:pt>
                <c:pt idx="9">
                  <c:v>811517.0977866085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D2-4DC6-9D98-438B5768953E}"/>
            </c:ext>
          </c:extLst>
        </c:ser>
        <c:ser>
          <c:idx val="1"/>
          <c:order val="1"/>
          <c:tx>
            <c:strRef>
              <c:f>Calculations!$M$1</c:f>
              <c:strCache>
                <c:ptCount val="1"/>
                <c:pt idx="0">
                  <c:v>Current Policy Cost</c:v>
                </c:pt>
              </c:strCache>
            </c:strRef>
          </c:tx>
          <c:spPr>
            <a:solidFill>
              <a:srgbClr val="E8733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Calculations!$A$2:$A$11</c:f>
              <c:strCache>
                <c:ptCount val="10"/>
                <c:pt idx="0">
                  <c:v>Tide Pods (152 ct)</c:v>
                </c:pt>
                <c:pt idx="1">
                  <c:v>Kirkland Paper Towels</c:v>
                </c:pt>
                <c:pt idx="2">
                  <c:v>Organic Milk (3 half-gal)</c:v>
                </c:pt>
                <c:pt idx="3">
                  <c:v>Kirkland Toilet Paper</c:v>
                </c:pt>
                <c:pt idx="4">
                  <c:v>Kirkland Batteries (48 ct)</c:v>
                </c:pt>
                <c:pt idx="5">
                  <c:v>Eggs (5-dozen pack)</c:v>
                </c:pt>
                <c:pt idx="6">
                  <c:v>Rotisserie Chicken</c:v>
                </c:pt>
                <c:pt idx="7">
                  <c:v>Bottled Water (40-pack)</c:v>
                </c:pt>
                <c:pt idx="8">
                  <c:v>Bananas (3 lb bag)</c:v>
                </c:pt>
                <c:pt idx="9">
                  <c:v>Gasoline (per gallon)</c:v>
                </c:pt>
              </c:strCache>
            </c:strRef>
          </c:cat>
          <c:val>
            <c:numRef>
              <c:f>Calculations!$M$2:$M$11</c:f>
              <c:numCache>
                <c:formatCode>#,##0.00</c:formatCode>
                <c:ptCount val="10"/>
                <c:pt idx="0">
                  <c:v>539525</c:v>
                </c:pt>
                <c:pt idx="1">
                  <c:v>547566</c:v>
                </c:pt>
                <c:pt idx="2">
                  <c:v>330813.49999999994</c:v>
                </c:pt>
                <c:pt idx="3">
                  <c:v>626916</c:v>
                </c:pt>
                <c:pt idx="4">
                  <c:v>375820</c:v>
                </c:pt>
                <c:pt idx="5">
                  <c:v>348400</c:v>
                </c:pt>
                <c:pt idx="6">
                  <c:v>145130</c:v>
                </c:pt>
                <c:pt idx="7">
                  <c:v>338400</c:v>
                </c:pt>
                <c:pt idx="8">
                  <c:v>1179840</c:v>
                </c:pt>
                <c:pt idx="9">
                  <c:v>7160000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D2-4DC6-9D98-438B5768953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953589768"/>
        <c:axId val="953591816"/>
      </c:barChart>
      <c:catAx>
        <c:axId val="953589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591816"/>
        <c:crosses val="autoZero"/>
        <c:auto val="1"/>
        <c:lblAlgn val="ctr"/>
        <c:lblOffset val="100"/>
        <c:noMultiLvlLbl val="0"/>
      </c:catAx>
      <c:valAx>
        <c:axId val="953591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589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43156364099285"/>
          <c:y val="0.89722549781929783"/>
          <c:w val="0.53368044619422572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Recommended Order Quantity (EOQ) per Order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Calculations!$F$1</c:f>
              <c:strCache>
                <c:ptCount val="1"/>
                <c:pt idx="0">
                  <c:v>EOQ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Calculations!$A$2:$A$11</c:f>
              <c:strCache>
                <c:ptCount val="10"/>
                <c:pt idx="0">
                  <c:v>Tide Pods (152 ct)</c:v>
                </c:pt>
                <c:pt idx="1">
                  <c:v>Kirkland Paper Towels</c:v>
                </c:pt>
                <c:pt idx="2">
                  <c:v>Organic Milk (3 half-gal)</c:v>
                </c:pt>
                <c:pt idx="3">
                  <c:v>Kirkland Toilet Paper</c:v>
                </c:pt>
                <c:pt idx="4">
                  <c:v>Kirkland Batteries (48 ct)</c:v>
                </c:pt>
                <c:pt idx="5">
                  <c:v>Eggs (5-dozen pack)</c:v>
                </c:pt>
                <c:pt idx="6">
                  <c:v>Rotisserie Chicken</c:v>
                </c:pt>
                <c:pt idx="7">
                  <c:v>Bottled Water (40-pack)</c:v>
                </c:pt>
                <c:pt idx="8">
                  <c:v>Bananas (3 lb bag)</c:v>
                </c:pt>
                <c:pt idx="9">
                  <c:v>Gasoline (per gallon)</c:v>
                </c:pt>
              </c:strCache>
            </c:strRef>
          </c:cat>
          <c:val>
            <c:numRef>
              <c:f>Calculations!$F$2:$F$11</c:f>
              <c:numCache>
                <c:formatCode>General</c:formatCode>
                <c:ptCount val="10"/>
                <c:pt idx="0">
                  <c:v>248.4930877173253</c:v>
                </c:pt>
                <c:pt idx="1">
                  <c:v>286.82370837710488</c:v>
                </c:pt>
                <c:pt idx="2">
                  <c:v>315.21669948767612</c:v>
                </c:pt>
                <c:pt idx="3">
                  <c:v>315.55651124584995</c:v>
                </c:pt>
                <c:pt idx="4">
                  <c:v>359.26099482381295</c:v>
                </c:pt>
                <c:pt idx="5">
                  <c:v>427.61798705987906</c:v>
                </c:pt>
                <c:pt idx="6">
                  <c:v>731.95267400367629</c:v>
                </c:pt>
                <c:pt idx="7">
                  <c:v>924.91730082572803</c:v>
                </c:pt>
                <c:pt idx="8">
                  <c:v>2409.3544077473366</c:v>
                </c:pt>
                <c:pt idx="9">
                  <c:v>31545.854141364765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F1-449F-9632-B904EA6DE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6229896"/>
        <c:axId val="1376231944"/>
      </c:barChart>
      <c:catAx>
        <c:axId val="1376229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231944"/>
        <c:crosses val="autoZero"/>
        <c:auto val="1"/>
        <c:lblAlgn val="ctr"/>
        <c:lblOffset val="100"/>
        <c:noMultiLvlLbl val="0"/>
      </c:catAx>
      <c:valAx>
        <c:axId val="1376231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229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5</xdr:row>
      <xdr:rowOff>19050</xdr:rowOff>
    </xdr:from>
    <xdr:to>
      <xdr:col>1</xdr:col>
      <xdr:colOff>1543050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58A5C1-90AE-4E17-B45E-1F0416B033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152400</xdr:colOff>
      <xdr:row>4</xdr:row>
      <xdr:rowOff>171450</xdr:rowOff>
    </xdr:from>
    <xdr:to>
      <xdr:col>10</xdr:col>
      <xdr:colOff>457200</xdr:colOff>
      <xdr:row>19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08C247-83C5-48C8-9579-FC3128A13C4E}"/>
            </a:ext>
            <a:ext uri="{147F2762-F138-4A5C-976F-8EAC2B608ADB}">
              <a16:predDERef xmlns:a16="http://schemas.microsoft.com/office/drawing/2014/main" pred="{AF58A5C1-90AE-4E17-B45E-1F0416B033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ennela Kottapally" id="{BE8ECDCA-EAF9-4198-A140-53D44C4DBE58}" userId="18c60e92602f65c0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5-11-30T21:33:57.86" personId="{BE8ECDCA-EAF9-4198-A140-53D44C4DBE58}" id="{063955BA-51B3-4145-AC8A-D748D7525FA5}">
    <text>https://fortune.com/2024/06/04/costco-kirkland-store-brand-nike-coca-cola/</text>
  </threadedComment>
  <threadedComment ref="B3" dT="2025-11-30T20:37:41.86" personId="{BE8ECDCA-EAF9-4198-A140-53D44C4DBE58}" id="{8D1EB38B-64BB-4341-9120-D45E349BE161}">
    <text>https://www.southernliving.com/costco-rotisserie-chicken-change-8643561#:~:text=Don't%20worry.,It%20will%20still%20be%20$5.&amp;text=Although%20each%20Costco%20warehouse%20store,January%202024%20annual%20shareholder%20meeting.</text>
  </threadedComment>
  <threadedComment ref="B4" dT="2025-11-30T21:37:17.64" personId="{BE8ECDCA-EAF9-4198-A140-53D44C4DBE58}" id="{B70053DE-41DC-44C3-9FC3-FAE5C0F3EA9F}">
    <text>https://fortune.com/2024/06/04/costco-kirkland-store-brand-nike-coca-cola/</text>
  </threadedComment>
  <threadedComment ref="B5" dT="2025-11-30T21:39:04.25" personId="{BE8ECDCA-EAF9-4198-A140-53D44C4DBE58}" id="{D72CF8EB-3C43-4681-A716-1AAA3CF5BCA8}">
    <text>https://www.thedailymeal.com/1902161/what-brand-makes-costco-kirkland-bottled-water/</text>
  </threadedComment>
  <threadedComment ref="B6" dT="2025-11-30T22:00:02.07" personId="{BE8ECDCA-EAF9-4198-A140-53D44C4DBE58}" id="{F2C48C58-6874-4ADE-8219-E82BB53FC4D9}">
    <text>https://www.statista.com/statistics/284423/sales-costco-worldwide-2011-2013-by-category/#:~:text=In%202025%2C%20Costco%20Wholesale%20Corporation,retaining%20a%20loyal%20customer%20base.</text>
  </threadedComment>
  <threadedComment ref="B7" dT="2025-11-30T22:02:13.22" personId="{BE8ECDCA-EAF9-4198-A140-53D44C4DBE58}" id="{C3A8709A-EEB4-4221-AC74-4C6C207E34D6}">
    <text>https://www.tastingtable.com/1850928/costco-eggs-per-year/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G2" sqref="G2"/>
    </sheetView>
  </sheetViews>
  <sheetFormatPr defaultRowHeight="15"/>
  <cols>
    <col min="1" max="1" width="21.85546875" bestFit="1" customWidth="1"/>
    <col min="2" max="2" width="25.7109375" bestFit="1" customWidth="1"/>
    <col min="3" max="3" width="22.140625" bestFit="1" customWidth="1"/>
    <col min="4" max="4" width="16.140625" bestFit="1" customWidth="1"/>
    <col min="5" max="5" width="18.42578125" bestFit="1" customWidth="1"/>
    <col min="6" max="6" width="21.85546875" bestFit="1" customWidth="1"/>
    <col min="7" max="7" width="15.71093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105200</v>
      </c>
      <c r="C2">
        <v>20.46</v>
      </c>
      <c r="D2">
        <v>23.26</v>
      </c>
      <c r="E2">
        <v>180</v>
      </c>
      <c r="F2">
        <v>22.5</v>
      </c>
      <c r="G2" s="4">
        <v>7</v>
      </c>
    </row>
    <row r="3" spans="1:7">
      <c r="A3" t="s">
        <v>8</v>
      </c>
      <c r="B3" s="2">
        <v>252400</v>
      </c>
      <c r="C3">
        <v>2.12</v>
      </c>
      <c r="D3">
        <v>5.66</v>
      </c>
      <c r="E3">
        <v>90</v>
      </c>
      <c r="F3">
        <v>40</v>
      </c>
      <c r="G3">
        <v>1</v>
      </c>
    </row>
    <row r="4" spans="1:7">
      <c r="A4" t="s">
        <v>9</v>
      </c>
      <c r="B4" s="2">
        <v>117400</v>
      </c>
      <c r="C4">
        <v>20.96</v>
      </c>
      <c r="D4">
        <v>23.82</v>
      </c>
      <c r="E4">
        <v>200</v>
      </c>
      <c r="F4">
        <v>22.5</v>
      </c>
      <c r="G4">
        <v>10</v>
      </c>
    </row>
    <row r="5" spans="1:7">
      <c r="A5" t="s">
        <v>10</v>
      </c>
      <c r="B5" s="2">
        <v>320000</v>
      </c>
      <c r="C5">
        <v>3.99</v>
      </c>
      <c r="D5">
        <v>4.53</v>
      </c>
      <c r="E5">
        <v>120</v>
      </c>
      <c r="F5">
        <v>22.5</v>
      </c>
      <c r="G5">
        <v>5</v>
      </c>
    </row>
    <row r="6" spans="1:7">
      <c r="A6" t="s">
        <v>11</v>
      </c>
      <c r="B6" s="2">
        <v>3200000</v>
      </c>
      <c r="C6">
        <v>1.47</v>
      </c>
      <c r="D6">
        <v>2.2599999999999998</v>
      </c>
      <c r="E6">
        <v>60</v>
      </c>
      <c r="F6">
        <v>45</v>
      </c>
      <c r="G6">
        <v>2</v>
      </c>
    </row>
    <row r="7" spans="1:7">
      <c r="A7" t="s">
        <v>12</v>
      </c>
      <c r="B7" s="2">
        <v>208000</v>
      </c>
      <c r="C7">
        <v>6.5</v>
      </c>
      <c r="D7">
        <v>10.77</v>
      </c>
      <c r="E7">
        <v>100</v>
      </c>
      <c r="F7">
        <v>35</v>
      </c>
      <c r="G7">
        <v>3</v>
      </c>
    </row>
    <row r="8" spans="1:7">
      <c r="A8" t="s">
        <v>13</v>
      </c>
      <c r="B8" s="2">
        <v>92000</v>
      </c>
      <c r="C8">
        <v>15.84</v>
      </c>
      <c r="D8">
        <v>18.149999999999999</v>
      </c>
      <c r="E8">
        <v>250</v>
      </c>
      <c r="F8">
        <v>22.5</v>
      </c>
      <c r="G8">
        <v>14</v>
      </c>
    </row>
    <row r="9" spans="1:7">
      <c r="A9" t="s">
        <v>14</v>
      </c>
      <c r="B9" s="2">
        <v>142900</v>
      </c>
      <c r="C9">
        <v>9.0399999999999991</v>
      </c>
      <c r="D9">
        <v>13.9</v>
      </c>
      <c r="E9">
        <v>110</v>
      </c>
      <c r="F9">
        <v>35</v>
      </c>
      <c r="G9">
        <v>4</v>
      </c>
    </row>
    <row r="10" spans="1:7">
      <c r="A10" t="s">
        <v>15</v>
      </c>
      <c r="B10" s="2">
        <v>16000000</v>
      </c>
      <c r="C10">
        <v>1.47</v>
      </c>
      <c r="D10">
        <v>2.29</v>
      </c>
      <c r="E10">
        <v>800</v>
      </c>
      <c r="F10">
        <v>17.5</v>
      </c>
      <c r="G10">
        <v>2</v>
      </c>
    </row>
    <row r="11" spans="1:7">
      <c r="A11" t="s">
        <v>16</v>
      </c>
      <c r="B11" s="2">
        <v>70000</v>
      </c>
      <c r="C11">
        <v>30.23</v>
      </c>
      <c r="D11">
        <v>34.36</v>
      </c>
      <c r="E11">
        <v>300</v>
      </c>
      <c r="F11">
        <v>22.5</v>
      </c>
      <c r="G11">
        <v>12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C5452-73FA-427C-BF2E-2EC359417830}">
  <dimension ref="A1:M11"/>
  <sheetViews>
    <sheetView topLeftCell="H1" workbookViewId="0">
      <selection activeCell="M11" sqref="M11"/>
    </sheetView>
  </sheetViews>
  <sheetFormatPr defaultRowHeight="15"/>
  <cols>
    <col min="1" max="1" width="21.7109375" customWidth="1"/>
    <col min="2" max="2" width="14.5703125" bestFit="1" customWidth="1"/>
    <col min="4" max="4" width="10.140625" bestFit="1" customWidth="1"/>
    <col min="5" max="5" width="11.7109375" bestFit="1" customWidth="1"/>
    <col min="6" max="6" width="20.28515625" bestFit="1" customWidth="1"/>
    <col min="7" max="7" width="11" bestFit="1" customWidth="1"/>
    <col min="8" max="8" width="14.42578125" bestFit="1" customWidth="1"/>
    <col min="9" max="9" width="13.5703125" bestFit="1" customWidth="1"/>
    <col min="10" max="10" width="17.7109375" bestFit="1" customWidth="1"/>
    <col min="11" max="11" width="11.42578125" bestFit="1" customWidth="1"/>
    <col min="12" max="12" width="12.42578125" bestFit="1" customWidth="1"/>
    <col min="13" max="13" width="17.28515625" bestFit="1" customWidth="1"/>
  </cols>
  <sheetData>
    <row r="1" spans="1:13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>
      <c r="A2" t="s">
        <v>16</v>
      </c>
      <c r="B2" s="2">
        <f>Data!B11</f>
        <v>70000</v>
      </c>
      <c r="C2">
        <f>Data!C11</f>
        <v>30.23</v>
      </c>
      <c r="D2">
        <f>Data!E11</f>
        <v>300</v>
      </c>
      <c r="E2">
        <f>C2*Data!F11</f>
        <v>680.17499999999995</v>
      </c>
      <c r="F2">
        <f>SQRT(2*B2*D2/E2)</f>
        <v>248.4930877173253</v>
      </c>
      <c r="G2">
        <f>B2/F2</f>
        <v>281.69797656355291</v>
      </c>
      <c r="H2">
        <f>G2*D2</f>
        <v>84509.39296906587</v>
      </c>
      <c r="I2">
        <f>(F2/2)*E2</f>
        <v>84509.392969065855</v>
      </c>
      <c r="J2" s="8">
        <f>H2+I2</f>
        <v>169018.78593813174</v>
      </c>
      <c r="K2" s="5">
        <f>1.645*SQRT(G2*Data!G11)</f>
        <v>95.641942704885821</v>
      </c>
      <c r="L2" s="5">
        <f>K2+(B2/365*Data!G11)</f>
        <v>2397.0118057185846</v>
      </c>
      <c r="M2" s="8">
        <f>B2*C2*0.25+(B2/2000)*D2</f>
        <v>539525</v>
      </c>
    </row>
    <row r="3" spans="1:13">
      <c r="A3" t="s">
        <v>7</v>
      </c>
      <c r="B3" s="2">
        <f>Data!B2</f>
        <v>105200</v>
      </c>
      <c r="C3">
        <f>Data!C2</f>
        <v>20.46</v>
      </c>
      <c r="D3">
        <f>Data!E2</f>
        <v>180</v>
      </c>
      <c r="E3">
        <f>C3*Data!F2</f>
        <v>460.35</v>
      </c>
      <c r="F3">
        <f>SQRT(2*B3*D3/E3)</f>
        <v>286.82370837710488</v>
      </c>
      <c r="G3">
        <f>B3/F3</f>
        <v>366.77581708722295</v>
      </c>
      <c r="H3">
        <f>G3*D3</f>
        <v>66019.647075700137</v>
      </c>
      <c r="I3">
        <f>(F3/2)*E3</f>
        <v>66019.647075700123</v>
      </c>
      <c r="J3" s="8">
        <f>H3+I3</f>
        <v>132039.29415140027</v>
      </c>
      <c r="K3" s="5">
        <f>1.645*SQRT(G3*Data!G2)</f>
        <v>83.351854886584064</v>
      </c>
      <c r="L3" s="5">
        <f>K3+(B3/365*Data!G2)</f>
        <v>2100.8861014619265</v>
      </c>
      <c r="M3" s="8">
        <f t="shared" ref="M3:M11" si="0">B3*C3*0.25+(B3/2000)*D3</f>
        <v>547566</v>
      </c>
    </row>
    <row r="4" spans="1:13">
      <c r="A4" t="s">
        <v>14</v>
      </c>
      <c r="B4" s="2">
        <f>Data!B9</f>
        <v>142900</v>
      </c>
      <c r="C4">
        <f>Data!C9</f>
        <v>9.0399999999999991</v>
      </c>
      <c r="D4">
        <f>Data!E9</f>
        <v>110</v>
      </c>
      <c r="E4">
        <f>C4*Data!F9</f>
        <v>316.39999999999998</v>
      </c>
      <c r="F4">
        <f>SQRT(2*B4*D4/E4)</f>
        <v>315.21669948767612</v>
      </c>
      <c r="G4">
        <f>B4/F4</f>
        <v>453.33892599045788</v>
      </c>
      <c r="H4">
        <f>G4*D4</f>
        <v>49867.281858950366</v>
      </c>
      <c r="I4">
        <f>(F4/2)*E4</f>
        <v>49867.281858950359</v>
      </c>
      <c r="J4" s="8">
        <f>H4+I4</f>
        <v>99734.563717900717</v>
      </c>
      <c r="K4" s="5">
        <f>1.645*SQRT(G4*Data!G9)</f>
        <v>70.049881290501233</v>
      </c>
      <c r="L4" s="5">
        <f>K4+(B4/365*Data!G9)</f>
        <v>1636.0772785507752</v>
      </c>
      <c r="M4" s="8">
        <f t="shared" si="0"/>
        <v>330813.49999999994</v>
      </c>
    </row>
    <row r="5" spans="1:13">
      <c r="A5" t="s">
        <v>9</v>
      </c>
      <c r="B5" s="2">
        <f>Data!B4</f>
        <v>117400</v>
      </c>
      <c r="C5">
        <f>Data!C4</f>
        <v>20.96</v>
      </c>
      <c r="D5">
        <f>Data!E4</f>
        <v>200</v>
      </c>
      <c r="E5">
        <f>C5*Data!F4</f>
        <v>471.6</v>
      </c>
      <c r="F5">
        <f>SQRT(2*B5*D5/E5)</f>
        <v>315.55651124584995</v>
      </c>
      <c r="G5">
        <f>B5/F5</f>
        <v>372.04112675885716</v>
      </c>
      <c r="H5">
        <f>G5*D5</f>
        <v>74408.225351771427</v>
      </c>
      <c r="I5">
        <f>(F5/2)*E5</f>
        <v>74408.225351771427</v>
      </c>
      <c r="J5" s="8">
        <f>H5+I5</f>
        <v>148816.45070354285</v>
      </c>
      <c r="K5" s="5">
        <f>1.645*SQRT(G5*Data!G4)</f>
        <v>100.3370614497772</v>
      </c>
      <c r="L5" s="5">
        <f>K5+(B5/365*Data!G4)</f>
        <v>3316.7754176141607</v>
      </c>
      <c r="M5" s="8">
        <f t="shared" si="0"/>
        <v>626916</v>
      </c>
    </row>
    <row r="6" spans="1:13">
      <c r="A6" t="s">
        <v>13</v>
      </c>
      <c r="B6" s="2">
        <f>Data!B8</f>
        <v>92000</v>
      </c>
      <c r="C6">
        <f>Data!C8</f>
        <v>15.84</v>
      </c>
      <c r="D6">
        <f>Data!E8</f>
        <v>250</v>
      </c>
      <c r="E6">
        <f>C6*Data!F8</f>
        <v>356.4</v>
      </c>
      <c r="F6">
        <f>SQRT(2*B6*D6/E6)</f>
        <v>359.26099482381295</v>
      </c>
      <c r="G6">
        <f>B6/F6</f>
        <v>256.08123711041384</v>
      </c>
      <c r="H6">
        <f>G6*D6</f>
        <v>64020.309277603461</v>
      </c>
      <c r="I6">
        <f>(F6/2)*E6</f>
        <v>64020.309277603461</v>
      </c>
      <c r="J6" s="8">
        <f>H6+I6</f>
        <v>128040.61855520692</v>
      </c>
      <c r="K6" s="5">
        <f>1.645*SQRT(G6*Data!G8)</f>
        <v>98.496046697945729</v>
      </c>
      <c r="L6" s="5">
        <f>K6+(B6/365*Data!G8)</f>
        <v>3627.2631699856165</v>
      </c>
      <c r="M6" s="8">
        <f t="shared" si="0"/>
        <v>375820</v>
      </c>
    </row>
    <row r="7" spans="1:13">
      <c r="A7" t="s">
        <v>12</v>
      </c>
      <c r="B7" s="2">
        <f>Data!B7</f>
        <v>208000</v>
      </c>
      <c r="C7">
        <f>Data!C7</f>
        <v>6.5</v>
      </c>
      <c r="D7">
        <f>Data!E7</f>
        <v>100</v>
      </c>
      <c r="E7">
        <f>C7*Data!F7</f>
        <v>227.5</v>
      </c>
      <c r="F7">
        <f>SQRT(2*B7*D7/E7)</f>
        <v>427.61798705987906</v>
      </c>
      <c r="G7">
        <f>B7/F7</f>
        <v>486.41546028061231</v>
      </c>
      <c r="H7">
        <f>G7*D7</f>
        <v>48641.546028061231</v>
      </c>
      <c r="I7">
        <f>(F7/2)*E7</f>
        <v>48641.546028061246</v>
      </c>
      <c r="J7" s="8">
        <f>H7+I7</f>
        <v>97283.092056122478</v>
      </c>
      <c r="K7" s="5">
        <f>1.645*SQRT(G7*Data!G7)</f>
        <v>62.839137388394604</v>
      </c>
      <c r="L7" s="5">
        <f>K7+(B7/365*Data!G7)</f>
        <v>1772.4281784842849</v>
      </c>
      <c r="M7" s="8">
        <f t="shared" si="0"/>
        <v>348400</v>
      </c>
    </row>
    <row r="8" spans="1:13">
      <c r="A8" t="s">
        <v>8</v>
      </c>
      <c r="B8" s="2">
        <f>Data!B3</f>
        <v>252400</v>
      </c>
      <c r="C8">
        <f>Data!C3</f>
        <v>2.12</v>
      </c>
      <c r="D8">
        <f>Data!E3</f>
        <v>90</v>
      </c>
      <c r="E8">
        <f>C8*Data!F3</f>
        <v>84.800000000000011</v>
      </c>
      <c r="F8">
        <f>SQRT(2*B8*D8/E8)</f>
        <v>731.95267400367629</v>
      </c>
      <c r="G8">
        <f>B8/F8</f>
        <v>344.83103753062085</v>
      </c>
      <c r="H8">
        <f>G8*D8</f>
        <v>31034.793377755876</v>
      </c>
      <c r="I8">
        <f>(F8/2)*E8</f>
        <v>31034.793377755879</v>
      </c>
      <c r="J8" s="8">
        <f>H8+I8</f>
        <v>62069.586755511758</v>
      </c>
      <c r="K8" s="5">
        <f>1.645*SQRT(G8*Data!G3)</f>
        <v>30.547035999157075</v>
      </c>
      <c r="L8" s="5">
        <f>K8+(B8/365*Data!G3)</f>
        <v>722.05388531422557</v>
      </c>
      <c r="M8" s="8">
        <f t="shared" si="0"/>
        <v>145130</v>
      </c>
    </row>
    <row r="9" spans="1:13">
      <c r="A9" t="s">
        <v>10</v>
      </c>
      <c r="B9" s="2">
        <f>Data!B5</f>
        <v>320000</v>
      </c>
      <c r="C9">
        <f>Data!C5</f>
        <v>3.99</v>
      </c>
      <c r="D9">
        <f>Data!E5</f>
        <v>120</v>
      </c>
      <c r="E9">
        <f>C9*Data!F5</f>
        <v>89.775000000000006</v>
      </c>
      <c r="F9">
        <f>SQRT(2*B9*D9/E9)</f>
        <v>924.91730082572803</v>
      </c>
      <c r="G9">
        <f>B9/F9</f>
        <v>345.97687784012385</v>
      </c>
      <c r="H9">
        <f>G9*D9</f>
        <v>41517.225340814861</v>
      </c>
      <c r="I9">
        <f>(F9/2)*E9</f>
        <v>41517.225340814868</v>
      </c>
      <c r="J9" s="8">
        <f>H9+I9</f>
        <v>83034.450681629736</v>
      </c>
      <c r="K9" s="5">
        <f>1.645*SQRT(G9*Data!G5)</f>
        <v>68.418640766143596</v>
      </c>
      <c r="L9" s="5">
        <f>K9+(B9/365*Data!G5)</f>
        <v>4451.9802846017601</v>
      </c>
      <c r="M9" s="8">
        <f t="shared" si="0"/>
        <v>338400</v>
      </c>
    </row>
    <row r="10" spans="1:13">
      <c r="A10" t="s">
        <v>11</v>
      </c>
      <c r="B10" s="2">
        <f>Data!B6</f>
        <v>3200000</v>
      </c>
      <c r="C10">
        <f>Data!C6</f>
        <v>1.47</v>
      </c>
      <c r="D10">
        <f>Data!E6</f>
        <v>60</v>
      </c>
      <c r="E10">
        <f>C10*Data!F6</f>
        <v>66.150000000000006</v>
      </c>
      <c r="F10">
        <f>SQRT(2*B10*D10/E10)</f>
        <v>2409.3544077473366</v>
      </c>
      <c r="G10">
        <f>B10/F10</f>
        <v>1328.1566172707194</v>
      </c>
      <c r="H10">
        <f>G10*D10</f>
        <v>79689.397036243157</v>
      </c>
      <c r="I10">
        <f>(F10/2)*E10</f>
        <v>79689.397036243172</v>
      </c>
      <c r="J10" s="8">
        <f>H10+I10</f>
        <v>159378.79407248634</v>
      </c>
      <c r="K10" s="5">
        <f>1.645*SQRT(G10*Data!G6)</f>
        <v>84.782368570947568</v>
      </c>
      <c r="L10" s="5">
        <f>K10+(B10/365*Data!G6)</f>
        <v>17619.028943913414</v>
      </c>
      <c r="M10" s="8">
        <f>B10*C10*0.25+(B10/50000)*D10</f>
        <v>1179840</v>
      </c>
    </row>
    <row r="11" spans="1:13">
      <c r="A11" t="s">
        <v>15</v>
      </c>
      <c r="B11" s="2">
        <f>Data!B10</f>
        <v>16000000</v>
      </c>
      <c r="C11">
        <f>Data!C10</f>
        <v>1.47</v>
      </c>
      <c r="D11">
        <f>Data!E10</f>
        <v>800</v>
      </c>
      <c r="E11">
        <f>C11*Data!F10</f>
        <v>25.724999999999998</v>
      </c>
      <c r="F11">
        <f>SQRT(2*B11*D11/E11)</f>
        <v>31545.854141364765</v>
      </c>
      <c r="G11">
        <f>B11/F11</f>
        <v>507.19818611663032</v>
      </c>
      <c r="H11">
        <f>G11*D11</f>
        <v>405758.54889330425</v>
      </c>
      <c r="I11">
        <f>(F11/2)*E11</f>
        <v>405758.54889330425</v>
      </c>
      <c r="J11" s="8">
        <f>H11+I11</f>
        <v>811517.0977866085</v>
      </c>
      <c r="K11" s="5">
        <f>1.645*SQRT(G11*Data!G10)</f>
        <v>52.392575267613147</v>
      </c>
      <c r="L11" s="5">
        <f>K11+(B11/365*Data!G10)</f>
        <v>87723.62545197994</v>
      </c>
      <c r="M11" s="8">
        <f>B11*C11*0.25+(B11/10000)*D11</f>
        <v>7160000</v>
      </c>
    </row>
  </sheetData>
  <sortState xmlns:xlrd2="http://schemas.microsoft.com/office/spreadsheetml/2017/richdata2" ref="A2:M11">
    <sortCondition ref="F2:F1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79643-CD7E-4C4F-B534-55139F0085AD}">
  <dimension ref="A1:B4"/>
  <sheetViews>
    <sheetView workbookViewId="0">
      <selection activeCell="A28" sqref="A28"/>
    </sheetView>
  </sheetViews>
  <sheetFormatPr defaultRowHeight="15"/>
  <cols>
    <col min="1" max="1" width="45.7109375" customWidth="1"/>
    <col min="2" max="2" width="40.7109375" customWidth="1"/>
  </cols>
  <sheetData>
    <row r="1" spans="1:2">
      <c r="A1" s="6" t="s">
        <v>29</v>
      </c>
    </row>
    <row r="3" spans="1:2">
      <c r="A3" s="6" t="s">
        <v>30</v>
      </c>
      <c r="B3" s="7">
        <f>SUM(Calculations!M:M)-SUM(Calculations!J:J)</f>
        <v>9701477.7655814588</v>
      </c>
    </row>
    <row r="4" spans="1:2">
      <c r="A4" s="1" t="s">
        <v>31</v>
      </c>
      <c r="B4" s="9" cm="1">
        <f t="array" ref="B4">AVERAGE(Calculations!J2:J11/Calculations!M2:M11)-1</f>
        <v>-0.7365320089899734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8E369-8D10-42AD-81AB-B327257DF815}">
  <dimension ref="A1:A4"/>
  <sheetViews>
    <sheetView tabSelected="1" workbookViewId="0">
      <selection activeCell="A4" sqref="A4"/>
    </sheetView>
  </sheetViews>
  <sheetFormatPr defaultRowHeight="15"/>
  <cols>
    <col min="1" max="1" width="53.140625" customWidth="1"/>
  </cols>
  <sheetData>
    <row r="1" spans="1:1">
      <c r="A1" t="s">
        <v>32</v>
      </c>
    </row>
    <row r="2" spans="1:1" ht="29.25">
      <c r="A2" s="3" t="s">
        <v>33</v>
      </c>
    </row>
    <row r="3" spans="1:1">
      <c r="A3" t="s">
        <v>34</v>
      </c>
    </row>
    <row r="4" spans="1:1" ht="29.25">
      <c r="A4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2025-11-30T20:14:46Z</dcterms:created>
  <dcterms:modified xsi:type="dcterms:W3CDTF">2025-12-01T23:17:54Z</dcterms:modified>
  <cp:category/>
  <cp:contentStatus/>
</cp:coreProperties>
</file>